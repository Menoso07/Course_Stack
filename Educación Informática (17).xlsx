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ck" sheetId="1" r:id="rId5"/>
    <sheet state="visible" name="Fast_track" sheetId="2" r:id="rId6"/>
    <sheet state="visible" name="Timeline Semanal" sheetId="3" r:id="rId7"/>
    <sheet state="visible" name="Varios" sheetId="4" r:id="rId8"/>
  </sheets>
  <definedNames/>
  <calcPr/>
</workbook>
</file>

<file path=xl/sharedStrings.xml><?xml version="1.0" encoding="utf-8"?>
<sst xmlns="http://schemas.openxmlformats.org/spreadsheetml/2006/main" count="134" uniqueCount="127">
  <si>
    <t>Curso</t>
  </si>
  <si>
    <t>Cursando</t>
  </si>
  <si>
    <t>Otorga certificado</t>
  </si>
  <si>
    <t>completado</t>
  </si>
  <si>
    <t>correlativa</t>
  </si>
  <si>
    <t>link</t>
  </si>
  <si>
    <t>Nota (en caso de haberla)</t>
  </si>
  <si>
    <t>Link</t>
  </si>
  <si>
    <t>CS50 P</t>
  </si>
  <si>
    <t>https://cs50.harvard.edu/python/</t>
  </si>
  <si>
    <t>CS50 SQL</t>
  </si>
  <si>
    <t>https://cs50.harvard.edu/sql/</t>
  </si>
  <si>
    <t xml:space="preserve">University of Helsinki Python 2025 </t>
  </si>
  <si>
    <t>https://programming-25.mooc.fi/part-2</t>
  </si>
  <si>
    <t>University of Stanford Algorithms 1 (en paralelo con leetcode easy) ( SOE-YCS0009 )</t>
  </si>
  <si>
    <t>https://www.coursera.org/learn/algorithms-divide-conquer?specialization=algorithms</t>
  </si>
  <si>
    <t xml:space="preserve">The missing semester </t>
  </si>
  <si>
    <t>https://missing.csail.mit.edu/</t>
  </si>
  <si>
    <t>CS50 X</t>
  </si>
  <si>
    <t>https://cs50.harvard.edu/x/</t>
  </si>
  <si>
    <t>University of Stanford Algorithms 2 (en paralelo con leetcode easy/medium) ( SOE-YCS0001 )</t>
  </si>
  <si>
    <t>https://www.coursera.org/learn/algorithms-graphs-data-structures?specialization=algorithms</t>
  </si>
  <si>
    <t>Java Univeristy of Helsinki</t>
  </si>
  <si>
    <t>https://java-programming.mooc.fi/</t>
  </si>
  <si>
    <t>CS50 W</t>
  </si>
  <si>
    <t>https://cs50.harvard.edu/web/</t>
  </si>
  <si>
    <t>University of Stanford Algorithms 3 (en paralelo con leetcode medium) ( SOE-YCS0003 )</t>
  </si>
  <si>
    <t>https://www.coursera.org/learn/algorithms-greedy?specialization=algorithms</t>
  </si>
  <si>
    <t>University of Stanford Algorithms 4 (en paralelo con leetcode de empresas/hard) ( SOE-YCS0004 )</t>
  </si>
  <si>
    <t>https://www.coursera.org/learn/algorithms-npcomplete?specialization=algorithms</t>
  </si>
  <si>
    <t>MIT OCW Introduction to C and C++</t>
  </si>
  <si>
    <t>https://ocw.mit.edu/courses/6-s096-introduction-to-c-and-c-january-iap-2013/</t>
  </si>
  <si>
    <t>https://www.freecodecamp.org/learn/responsive-web-design-v9/</t>
  </si>
  <si>
    <t>CS50 Cibersecurity</t>
  </si>
  <si>
    <t>https://cs50.harvard.edu/cybersecurity/</t>
  </si>
  <si>
    <t>Google CyberSec</t>
  </si>
  <si>
    <t>https://www.coursera.org/google-certificates/cybersecurity-certificate?_gl=1*13w6vx7*_gcl_au*NDU5OTgxMDAzLjE3ODA0MzQyNDA.&amp;action=enroll&amp;gwg_campaign_id=null&amp;gwg_exp=null&amp;utm_campaign=sou--google__med--organicsearch__cam--gwgsite__con--null__ter--null&amp;utm_medium=institutions&amp;utm_source=google#courses</t>
  </si>
  <si>
    <t>https://www.freecodecamp.org/learn/front-end-development-libraries-v9/</t>
  </si>
  <si>
    <t xml:space="preserve">CS50 AI </t>
  </si>
  <si>
    <t>https://cs50.harvard.edu/ai/</t>
  </si>
  <si>
    <t xml:space="preserve">Microsoft C# </t>
  </si>
  <si>
    <t>https://www.freecodecamp.org/learn/foundational-c-sharp-with-microsoft/</t>
  </si>
  <si>
    <t>Cisco CCNA</t>
  </si>
  <si>
    <t>https://www.netacad.com/courses/ccna-introduction-networks?courseLang=en-US&amp;utm_campaign=ccnacertguide&amp;utm_source=certguide&amp;utm_medium=Slide17-introduction-to-networks</t>
  </si>
  <si>
    <t>MIT OCW Effective C &amp; C++ programming</t>
  </si>
  <si>
    <t>https://ocw.mit.edu/courses/6-s096-effective-programming-in-c-and-c-january-iap-2014/</t>
  </si>
  <si>
    <t>MIT Math for Comp Sci</t>
  </si>
  <si>
    <t>https://ocw.mit.edu/courses/6-042j-mathematics-for-computer-science-fall-2010/</t>
  </si>
  <si>
    <t>MIT Single Variable Calculus</t>
  </si>
  <si>
    <t>https://ocw.mit.edu/courses/18-01-single-variable-calculus-fall-2006/</t>
  </si>
  <si>
    <t>MIT 6.172: Performance Engineering of Software Systems.</t>
  </si>
  <si>
    <t>https://ocw.mit.edu/courses/6-172-performance-engineering-of-software-systems-fall-2018/</t>
  </si>
  <si>
    <t xml:space="preserve">MIT OCW Computer Networks </t>
  </si>
  <si>
    <t>https://ocw.mit.edu/courses/6-829-computer-networks-fall-2002/</t>
  </si>
  <si>
    <t>MIT Computation Structures</t>
  </si>
  <si>
    <t>https://ocw.mit.edu/courses/6-004-computation-structures-spring-2017/</t>
  </si>
  <si>
    <t>Stanford CS143 (Compilers)</t>
  </si>
  <si>
    <t>https://web.stanford.edu/class/cs143/</t>
  </si>
  <si>
    <t xml:space="preserve">MIT Operating Systems </t>
  </si>
  <si>
    <t>https://ocw.mit.edu/courses/6-828-operating-system-engineering-fall-2012/</t>
  </si>
  <si>
    <t>MIT how to cad anything (SOLIDWORKS)</t>
  </si>
  <si>
    <t>https://github.com/andyeske/How-to-CAD-Almost-Anything?tab=readme-ov-file#S1</t>
  </si>
  <si>
    <t>MIT OCW</t>
  </si>
  <si>
    <t>INVESTIGÁ TELECOMUNICACIONES CISCO CCNA</t>
  </si>
  <si>
    <t>https://learn.mit.edu/dashboard/my-lists/257787</t>
  </si>
  <si>
    <t>MIT CHALLENGE (para ir agregando)</t>
  </si>
  <si>
    <t>https://www.scotthyoung.com/blog/myprojects/mit-challenge-2/</t>
  </si>
  <si>
    <t xml:space="preserve"> https://mainframeskillsdepot.ibm.com/                  HAcé el de SysAdmin </t>
  </si>
  <si>
    <t>https://elpositivo3.mitiendanube.com/?exit_preview_theme_installation</t>
  </si>
  <si>
    <t xml:space="preserve">Fresadora y torno CNC </t>
  </si>
  <si>
    <t>https://fullstackopen.com/en/</t>
  </si>
  <si>
    <t>https://www.ibeltran.com.ar/operador_CNC.php</t>
  </si>
  <si>
    <t xml:space="preserve">The missing semester of your CS education </t>
  </si>
  <si>
    <t>https://www.theodinproject.com/</t>
  </si>
  <si>
    <t>https://www.youtube.com/watch?v=u_SJcg673fA</t>
  </si>
  <si>
    <t>MIT 2.008x (Fundamentals of Manufacturing Processes)</t>
  </si>
  <si>
    <t>https://undef.edu.ar/fmc/oferta-academica.php</t>
  </si>
  <si>
    <t>https://openmainframeproject.org/projects/cobol-programming-course/</t>
  </si>
  <si>
    <t>https://extensionfra.com.ar/courses/informatica-forense/</t>
  </si>
  <si>
    <t>https://www.youtube.com/watch?v=EX_5KEdQkWA</t>
  </si>
  <si>
    <t>https://users.ece.utexas.edu/~valvano/Volume1/E-Book/</t>
  </si>
  <si>
    <t>https://www.youtube.com/playlist?list=PLxbwE86jKRgMpuZuLBivzlM8s2Dk5lXBQ</t>
  </si>
  <si>
    <t>https://undef.edu.ar/fmc/novedad.php?id=155</t>
  </si>
  <si>
    <t>https://www.isabato.edu.ar/diplomatura/?seccion=3993</t>
  </si>
  <si>
    <t>NOT RELEVANT ANYMORE</t>
  </si>
  <si>
    <r>
      <rPr>
        <color rgb="FF1155CC"/>
        <u/>
      </rPr>
      <t>https://web.stanford.edu/class/cs143/</t>
    </r>
    <r>
      <rPr>
        <color rgb="FF1F1F1F"/>
      </rPr>
      <t xml:space="preserve">  </t>
    </r>
  </si>
  <si>
    <t xml:space="preserve">COMPILADORES (reserchear) </t>
  </si>
  <si>
    <t>https://site.elearning-total.com/course/informatica-y-tecnologia-29/electronica/automatizacion-industrial/?com=et</t>
  </si>
  <si>
    <t>https://en.wikipedia.org/wiki/Cybernetics</t>
  </si>
  <si>
    <t>Cursos</t>
  </si>
  <si>
    <t>CS50P</t>
  </si>
  <si>
    <t>CS50X</t>
  </si>
  <si>
    <t>JAVA helsinki</t>
  </si>
  <si>
    <t>Spring academy building a rest API</t>
  </si>
  <si>
    <t>https://spring.academy/courses/building-a-rest-api-with-spring-boot</t>
  </si>
  <si>
    <t>Spring framework essentials</t>
  </si>
  <si>
    <t>https://spring.academy/courses/spring-framework-essentials</t>
  </si>
  <si>
    <t>The missing Semester</t>
  </si>
  <si>
    <t>CS50W</t>
  </si>
  <si>
    <t>Responsive web Design FRCCMP</t>
  </si>
  <si>
    <t>https://www.freecodecamp.org/learn/responsive-web-design-v9/#lecture-what-is-css</t>
  </si>
  <si>
    <t>Día</t>
  </si>
  <si>
    <t>Objetivo</t>
  </si>
  <si>
    <t>Horas</t>
  </si>
  <si>
    <t>Horas total</t>
  </si>
  <si>
    <t>Cumplió ?</t>
  </si>
  <si>
    <t>Semana</t>
  </si>
  <si>
    <t xml:space="preserve">Cumplió ? </t>
  </si>
  <si>
    <t>Lunes</t>
  </si>
  <si>
    <t>Almenos</t>
  </si>
  <si>
    <t xml:space="preserve">este mes </t>
  </si>
  <si>
    <t>Martes</t>
  </si>
  <si>
    <t>miércoles</t>
  </si>
  <si>
    <t>jueves</t>
  </si>
  <si>
    <t>viernes</t>
  </si>
  <si>
    <t>sábado</t>
  </si>
  <si>
    <t>domingo</t>
  </si>
  <si>
    <t>iso 9606-1</t>
  </si>
  <si>
    <t>https://www.google.com/search?q=ISO+9606-1+donde+me+certifico&amp;sca_esv=ff395dd47995098c&amp;sxsrf=ANbL-n5xyKMWuQbikxOffrfXmwD8STaFVg%3A1776221681466&amp;ei=8f3eaf2THMzB5OUP5O6qsQk&amp;ved=0ahUKEwi90Pay7e6TAxXMILkGHWS3KpYQ4dUDCBM&amp;uact=5&amp;oq=ISO+9606-1+donde+me+certifico&amp;gs_lp=Egxnd3Mtd2l6LXNlcnAiHUlTTyA5NjA2LTEgZG9uZGUgbWUgY2VydGlmaWNvMggQABiwAxjvBTILEAAYgAQYsAMYogQyCxAAGIAEGLADGKIEMgsQABiABBiwAxiiBDIIEAAYsAMY7wVIhhRQAFgAcAF4AJABAJgBcaABcaoBAzAuMbgBA8gBAJgCAaACBZgDAIgGAZAGBZIHATGgB9QCsgcAuAcAwgcDMi0xyAcDgAgA&amp;sclient=gws-wiz-serp</t>
  </si>
  <si>
    <t>https://en.trainor.no/app/product/elearning/A8fQq3/hot-work---certification</t>
  </si>
  <si>
    <t>https://www.google.com/search?q=dnv+norway+argentina&amp;sca_esv=5eb6a9f325a61caf&amp;sxsrf=ANbL-n7V1hHfMfCp-tbZPSLfJHGwfyAUdA%3A1776232985248&amp;ei=GSrfab_rDruW5OUPyaKPoAg&amp;biw=1536&amp;bih=730&amp;oq=dnv+norway+ar&amp;gs_lp=Egxnd3Mtd2l6LXNlcnAiDWRudiBub3J3YXkgYXIqAggAMgUQIRigATIFECEYoAEyBRAhGKABMgUQIRigATIFECEYnwVIpDZQyw1Y8ypwBHgBkAEAmAGUAaABkQaqAQMwLja4AQPIAQD4AQGYAgqgAtkGwgIKEAAYsAMY1gQYR8ICDRAAGIAEGLADGEMYigXCAg4QABiwAxjkAhjWBNgBAcICFxAuGLADGNgCGLgGGMgDGNoGGNwG2AEBwgIXEC4YsAMYuAYY2AIYyAMY2gYY3AbYAQHCAgUQABiABMICCxAAGIAEGJECGIoFwgIGEAAYFhgewgILEAAYgAQYhgMYigWYAwCIBgGQBhC6BgYIARABGAmSBwM0LjagB6sYsgcDMC42uAe3BsIHBzAuNC40LjLIBzOACAA&amp;sclient=gws-wiz-serp</t>
  </si>
  <si>
    <t>Páginas modelo</t>
  </si>
  <si>
    <t>https://byemslug.com.ar/shop/slug</t>
  </si>
  <si>
    <t>(Para Balines)</t>
  </si>
  <si>
    <t>para viejito</t>
  </si>
  <si>
    <t>https://www.armeriaft.cl/en/</t>
  </si>
  <si>
    <t>(General)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</si>
</sst>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color rgb="FF1F1F1F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/>
    </xf>
    <xf borderId="1" fillId="6" fontId="1" numFmtId="0" xfId="0" applyAlignment="1" applyBorder="1" applyFill="1" applyFont="1">
      <alignment readingOrder="0"/>
    </xf>
    <xf borderId="1" fillId="4" fontId="1" numFmtId="0" xfId="0" applyBorder="1" applyFont="1"/>
    <xf borderId="1" fillId="5" fontId="2" numFmtId="0" xfId="0" applyAlignment="1" applyBorder="1" applyFont="1">
      <alignment readingOrder="0"/>
    </xf>
    <xf borderId="1" fillId="6" fontId="1" numFmtId="0" xfId="0" applyBorder="1" applyFont="1"/>
    <xf borderId="1" fillId="5" fontId="3" numFmtId="0" xfId="0" applyAlignment="1" applyBorder="1" applyFont="1">
      <alignment readingOrder="0"/>
    </xf>
    <xf borderId="1" fillId="7" fontId="1" numFmtId="0" xfId="0" applyAlignment="1" applyBorder="1" applyFill="1" applyFont="1">
      <alignment readingOrder="0"/>
    </xf>
    <xf borderId="1" fillId="3" fontId="1" numFmtId="0" xfId="0" applyBorder="1" applyFont="1"/>
    <xf borderId="1" fillId="7" fontId="4" numFmtId="0" xfId="0" applyAlignment="1" applyBorder="1" applyFont="1">
      <alignment readingOrder="0"/>
    </xf>
    <xf borderId="1" fillId="5" fontId="1" numFmtId="0" xfId="0" applyAlignment="1" applyBorder="1" applyFont="1">
      <alignment readingOrder="0"/>
    </xf>
    <xf borderId="1" fillId="8" fontId="5" numFmtId="0" xfId="0" applyAlignment="1" applyBorder="1" applyFill="1" applyFont="1">
      <alignment readingOrder="0"/>
    </xf>
    <xf borderId="0" fillId="0" fontId="1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1" numFmtId="0" xfId="0" applyAlignment="1" applyFont="1">
      <alignment readingOrder="0"/>
    </xf>
    <xf borderId="1" fillId="9" fontId="1" numFmtId="0" xfId="0" applyAlignment="1" applyBorder="1" applyFill="1" applyFont="1">
      <alignment readingOrder="0"/>
    </xf>
    <xf borderId="1" fillId="2" fontId="1" numFmtId="0" xfId="0" applyBorder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39</xdr:row>
      <xdr:rowOff>104775</xdr:rowOff>
    </xdr:from>
    <xdr:ext cx="2914650" cy="36004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40</xdr:row>
      <xdr:rowOff>66675</xdr:rowOff>
    </xdr:from>
    <xdr:ext cx="2667000" cy="342900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EX_5KEdQkWA" TargetMode="External"/><Relationship Id="rId20" Type="http://schemas.openxmlformats.org/officeDocument/2006/relationships/hyperlink" Target="https://ocw.mit.edu/courses/6-s096-effective-programming-in-c-and-c-january-iap-2014/" TargetMode="External"/><Relationship Id="rId42" Type="http://schemas.openxmlformats.org/officeDocument/2006/relationships/hyperlink" Target="https://www.youtube.com/playlist?list=PLxbwE86jKRgMpuZuLBivzlM8s2Dk5lXBQ" TargetMode="External"/><Relationship Id="rId41" Type="http://schemas.openxmlformats.org/officeDocument/2006/relationships/hyperlink" Target="https://users.ece.utexas.edu/~valvano/Volume1/E-Book/" TargetMode="External"/><Relationship Id="rId22" Type="http://schemas.openxmlformats.org/officeDocument/2006/relationships/hyperlink" Target="https://ocw.mit.edu/courses/18-01-single-variable-calculus-fall-2006/" TargetMode="External"/><Relationship Id="rId44" Type="http://schemas.openxmlformats.org/officeDocument/2006/relationships/hyperlink" Target="https://www.isabato.edu.ar/diplomatura/?seccion=3993" TargetMode="External"/><Relationship Id="rId21" Type="http://schemas.openxmlformats.org/officeDocument/2006/relationships/hyperlink" Target="https://ocw.mit.edu/courses/6-042j-mathematics-for-computer-science-fall-2010/" TargetMode="External"/><Relationship Id="rId43" Type="http://schemas.openxmlformats.org/officeDocument/2006/relationships/hyperlink" Target="https://undef.edu.ar/fmc/novedad.php?id=155" TargetMode="External"/><Relationship Id="rId24" Type="http://schemas.openxmlformats.org/officeDocument/2006/relationships/hyperlink" Target="https://ocw.mit.edu/courses/6-829-computer-networks-fall-2002/" TargetMode="External"/><Relationship Id="rId46" Type="http://schemas.openxmlformats.org/officeDocument/2006/relationships/hyperlink" Target="https://site.elearning-total.com/course/informatica-y-tecnologia-29/electronica/automatizacion-industrial/?com=et" TargetMode="External"/><Relationship Id="rId23" Type="http://schemas.openxmlformats.org/officeDocument/2006/relationships/hyperlink" Target="https://ocw.mit.edu/courses/6-172-performance-engineering-of-software-systems-fall-2018/" TargetMode="External"/><Relationship Id="rId45" Type="http://schemas.openxmlformats.org/officeDocument/2006/relationships/hyperlink" Target="https://web.stanford.edu/class/cs143/" TargetMode="External"/><Relationship Id="rId1" Type="http://schemas.openxmlformats.org/officeDocument/2006/relationships/hyperlink" Target="https://cs50.harvard.edu/python/" TargetMode="External"/><Relationship Id="rId2" Type="http://schemas.openxmlformats.org/officeDocument/2006/relationships/hyperlink" Target="https://cs50.harvard.edu/sql/" TargetMode="External"/><Relationship Id="rId3" Type="http://schemas.openxmlformats.org/officeDocument/2006/relationships/hyperlink" Target="https://programming-25.mooc.fi/part-2" TargetMode="External"/><Relationship Id="rId4" Type="http://schemas.openxmlformats.org/officeDocument/2006/relationships/hyperlink" Target="https://www.coursera.org/learn/algorithms-divide-conquer?specialization=algorithms" TargetMode="External"/><Relationship Id="rId9" Type="http://schemas.openxmlformats.org/officeDocument/2006/relationships/hyperlink" Target="https://cs50.harvard.edu/web/" TargetMode="External"/><Relationship Id="rId26" Type="http://schemas.openxmlformats.org/officeDocument/2006/relationships/hyperlink" Target="https://web.stanford.edu/class/cs143/" TargetMode="External"/><Relationship Id="rId48" Type="http://schemas.openxmlformats.org/officeDocument/2006/relationships/drawing" Target="../drawings/drawing1.xml"/><Relationship Id="rId25" Type="http://schemas.openxmlformats.org/officeDocument/2006/relationships/hyperlink" Target="https://ocw.mit.edu/courses/6-004-computation-structures-spring-2017/" TargetMode="External"/><Relationship Id="rId47" Type="http://schemas.openxmlformats.org/officeDocument/2006/relationships/hyperlink" Target="https://en.wikipedia.org/wiki/Cybernetics" TargetMode="External"/><Relationship Id="rId28" Type="http://schemas.openxmlformats.org/officeDocument/2006/relationships/hyperlink" Target="https://github.com/andyeske/How-to-CAD-Almost-Anything?tab=readme-ov-file" TargetMode="External"/><Relationship Id="rId27" Type="http://schemas.openxmlformats.org/officeDocument/2006/relationships/hyperlink" Target="https://ocw.mit.edu/courses/6-828-operating-system-engineering-fall-2012/" TargetMode="External"/><Relationship Id="rId5" Type="http://schemas.openxmlformats.org/officeDocument/2006/relationships/hyperlink" Target="https://missing.csail.mit.edu/" TargetMode="External"/><Relationship Id="rId6" Type="http://schemas.openxmlformats.org/officeDocument/2006/relationships/hyperlink" Target="https://cs50.harvard.edu/x/" TargetMode="External"/><Relationship Id="rId29" Type="http://schemas.openxmlformats.org/officeDocument/2006/relationships/hyperlink" Target="https://learn.mit.edu/dashboard/my-lists/257787" TargetMode="External"/><Relationship Id="rId7" Type="http://schemas.openxmlformats.org/officeDocument/2006/relationships/hyperlink" Target="https://www.coursera.org/learn/algorithms-graphs-data-structures?specialization=algorithms" TargetMode="External"/><Relationship Id="rId8" Type="http://schemas.openxmlformats.org/officeDocument/2006/relationships/hyperlink" Target="https://java-programming.mooc.fi/" TargetMode="External"/><Relationship Id="rId31" Type="http://schemas.openxmlformats.org/officeDocument/2006/relationships/hyperlink" Target="https://elpositivo3.mitiendanube.com/?exit_preview_theme_installation" TargetMode="External"/><Relationship Id="rId30" Type="http://schemas.openxmlformats.org/officeDocument/2006/relationships/hyperlink" Target="https://www.scotthyoung.com/blog/myprojects/mit-challenge-2/" TargetMode="External"/><Relationship Id="rId11" Type="http://schemas.openxmlformats.org/officeDocument/2006/relationships/hyperlink" Target="https://www.coursera.org/learn/algorithms-npcomplete?specialization=algorithms" TargetMode="External"/><Relationship Id="rId33" Type="http://schemas.openxmlformats.org/officeDocument/2006/relationships/hyperlink" Target="https://www.ibeltran.com.ar/operador_CNC.php" TargetMode="External"/><Relationship Id="rId10" Type="http://schemas.openxmlformats.org/officeDocument/2006/relationships/hyperlink" Target="https://www.coursera.org/learn/algorithms-greedy?specialization=algorithms" TargetMode="External"/><Relationship Id="rId32" Type="http://schemas.openxmlformats.org/officeDocument/2006/relationships/hyperlink" Target="https://fullstackopen.com/en/" TargetMode="External"/><Relationship Id="rId13" Type="http://schemas.openxmlformats.org/officeDocument/2006/relationships/hyperlink" Target="https://www.freecodecamp.org/learn/responsive-web-design-v9/" TargetMode="External"/><Relationship Id="rId35" Type="http://schemas.openxmlformats.org/officeDocument/2006/relationships/hyperlink" Target="https://www.youtube.com/watch?v=u_SJcg673fA" TargetMode="External"/><Relationship Id="rId12" Type="http://schemas.openxmlformats.org/officeDocument/2006/relationships/hyperlink" Target="https://ocw.mit.edu/courses/6-s096-introduction-to-c-and-c-january-iap-2013/" TargetMode="External"/><Relationship Id="rId34" Type="http://schemas.openxmlformats.org/officeDocument/2006/relationships/hyperlink" Target="https://www.theodinproject.com/" TargetMode="External"/><Relationship Id="rId15" Type="http://schemas.openxmlformats.org/officeDocument/2006/relationships/hyperlink" Target="https://www.coursera.org/google-certificates/cybersecurity-certificate?_gl=1*13w6vx7*_gcl_au*NDU5OTgxMDAzLjE3ODA0MzQyNDA.&amp;action=enroll&amp;gwg_campaign_id=null&amp;gwg_exp=null&amp;utm_campaign=sou--google__med--organicsearch__cam--gwgsite__con--null__ter--null&amp;utm_medium=institutions&amp;utm_source=google" TargetMode="External"/><Relationship Id="rId37" Type="http://schemas.openxmlformats.org/officeDocument/2006/relationships/hyperlink" Target="https://undef.edu.ar/fmc/oferta-academica.php" TargetMode="External"/><Relationship Id="rId14" Type="http://schemas.openxmlformats.org/officeDocument/2006/relationships/hyperlink" Target="https://cs50.harvard.edu/cybersecurity/" TargetMode="External"/><Relationship Id="rId36" Type="http://schemas.openxmlformats.org/officeDocument/2006/relationships/hyperlink" Target="https://missing.csail.mit.edu/" TargetMode="External"/><Relationship Id="rId17" Type="http://schemas.openxmlformats.org/officeDocument/2006/relationships/hyperlink" Target="https://cs50.harvard.edu/ai/" TargetMode="External"/><Relationship Id="rId39" Type="http://schemas.openxmlformats.org/officeDocument/2006/relationships/hyperlink" Target="https://extensionfra.com.ar/courses/informatica-forense/" TargetMode="External"/><Relationship Id="rId16" Type="http://schemas.openxmlformats.org/officeDocument/2006/relationships/hyperlink" Target="https://www.freecodecamp.org/learn/front-end-development-libraries-v9/" TargetMode="External"/><Relationship Id="rId38" Type="http://schemas.openxmlformats.org/officeDocument/2006/relationships/hyperlink" Target="https://openmainframeproject.org/projects/cobol-programming-course/" TargetMode="External"/><Relationship Id="rId19" Type="http://schemas.openxmlformats.org/officeDocument/2006/relationships/hyperlink" Target="https://www.netacad.com/courses/ccna-introduction-networks?courseLang=en-US&amp;utm_campaign=ccnacertguide&amp;utm_source=certguide&amp;utm_medium=Slide17-introduction-to-networks" TargetMode="External"/><Relationship Id="rId18" Type="http://schemas.openxmlformats.org/officeDocument/2006/relationships/hyperlink" Target="https://www.freecodecamp.org/learn/foundational-c-sharp-with-microsoft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pring.academy/courses/building-a-rest-api-with-spring-boot" TargetMode="External"/><Relationship Id="rId2" Type="http://schemas.openxmlformats.org/officeDocument/2006/relationships/hyperlink" Target="https://spring.academy/courses/spring-framework-essentials" TargetMode="External"/><Relationship Id="rId3" Type="http://schemas.openxmlformats.org/officeDocument/2006/relationships/hyperlink" Target="https://www.freecodecamp.org/learn/responsive-web-design-v9/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search?q=ISO+9606-1+donde+me+certifico&amp;sca_esv=ff395dd47995098c&amp;sxsrf=ANbL-n5xyKMWuQbikxOffrfXmwD8STaFVg%3A1776221681466&amp;ei=8f3eaf2THMzB5OUP5O6qsQk&amp;ved=0ahUKEwi90Pay7e6TAxXMILkGHWS3KpYQ4dUDCBM&amp;uact=5&amp;oq=ISO+9606-1+donde+me+certifico&amp;gs_lp=Egxnd3Mtd2l6LXNlcnAiHUlTTyA5NjA2LTEgZG9uZGUgbWUgY2VydGlmaWNvMggQABiwAxjvBTILEAAYgAQYsAMYogQyCxAAGIAEGLADGKIEMgsQABiABBiwAxiiBDIIEAAYsAMY7wVIhhRQAFgAcAF4AJABAJgBcaABcaoBAzAuMbgBA8gBAJgCAaACBZgDAIgGAZAGBZIHATGgB9QCsgcAuAcAwgcDMi0xyAcDgAgA&amp;sclient=gws-wiz-serp" TargetMode="External"/><Relationship Id="rId2" Type="http://schemas.openxmlformats.org/officeDocument/2006/relationships/hyperlink" Target="https://en.trainor.no/app/product/elearning/A8fQq3/hot-work---certification" TargetMode="External"/><Relationship Id="rId3" Type="http://schemas.openxmlformats.org/officeDocument/2006/relationships/hyperlink" Target="https://www.google.com/search?q=dnv+norway+argentina&amp;sca_esv=5eb6a9f325a61caf&amp;sxsrf=ANbL-n7V1hHfMfCp-tbZPSLfJHGwfyAUdA%3A1776232985248&amp;ei=GSrfab_rDruW5OUPyaKPoAg&amp;biw=1536&amp;bih=730&amp;oq=dnv+norway+ar&amp;gs_lp=Egxnd3Mtd2l6LXNlcnAiDWRudiBub3J3YXkgYXIqAggAMgUQIRigATIFECEYoAEyBRAhGKABMgUQIRigATIFECEYnwVIpDZQyw1Y8ypwBHgBkAEAmAGUAaABkQaqAQMwLja4AQPIAQD4AQGYAgqgAtkGwgIKEAAYsAMY1gQYR8ICDRAAGIAEGLADGEMYigXCAg4QABiwAxjkAhjWBNgBAcICFxAuGLADGNgCGLgGGMgDGNoGGNwG2AEBwgIXEC4YsAMYuAYY2AIYyAMY2gYY3AbYAQHCAgUQABiABMICCxAAGIAEGJECGIoFwgIGEAAYFhgewgILEAAYgAQYhgMYigWYAwCIBgGQBhC6BgYIARABGAmSBwM0LjagB6sYsgcDMC42uAe3BsIHBzAuNC40LjLIBzOACAA&amp;sclient=gws-wiz-serp" TargetMode="External"/><Relationship Id="rId4" Type="http://schemas.openxmlformats.org/officeDocument/2006/relationships/hyperlink" Target="https://byemslug.com.ar/shop/slug" TargetMode="External"/><Relationship Id="rId5" Type="http://schemas.openxmlformats.org/officeDocument/2006/relationships/hyperlink" Target="https://www.armeriaft.cl/en/" TargetMode="External"/><Relationship Id="rId6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4.0"/>
    <col customWidth="1" min="3" max="3" width="14.13"/>
    <col customWidth="1" min="5" max="5" width="68.25"/>
    <col customWidth="1" min="6" max="6" width="171.38"/>
    <col customWidth="1" min="7" max="7" width="20.25"/>
    <col customWidth="1" min="8" max="8" width="28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5" t="s">
        <v>7</v>
      </c>
    </row>
    <row r="2">
      <c r="A2" s="3" t="s">
        <v>8</v>
      </c>
      <c r="B2" s="2" t="b">
        <v>0</v>
      </c>
      <c r="C2" s="2" t="b">
        <v>1</v>
      </c>
      <c r="D2" s="2" t="b">
        <v>0</v>
      </c>
      <c r="E2" s="6"/>
      <c r="F2" s="7" t="s">
        <v>9</v>
      </c>
      <c r="G2" s="8"/>
      <c r="H2" s="8"/>
    </row>
    <row r="3">
      <c r="A3" s="3" t="s">
        <v>10</v>
      </c>
      <c r="B3" s="2" t="b">
        <v>0</v>
      </c>
      <c r="C3" s="2" t="b">
        <v>1</v>
      </c>
      <c r="D3" s="2" t="b">
        <v>0</v>
      </c>
      <c r="E3" s="6"/>
      <c r="F3" s="9" t="s">
        <v>11</v>
      </c>
      <c r="G3" s="8"/>
      <c r="H3" s="8"/>
    </row>
    <row r="4">
      <c r="A4" s="10" t="s">
        <v>12</v>
      </c>
      <c r="B4" s="2" t="b">
        <v>0</v>
      </c>
      <c r="C4" s="2" t="b">
        <v>1</v>
      </c>
      <c r="D4" s="2" t="b">
        <v>0</v>
      </c>
      <c r="E4" s="6"/>
      <c r="F4" s="7" t="s">
        <v>13</v>
      </c>
      <c r="G4" s="8"/>
      <c r="H4" s="8"/>
    </row>
    <row r="5">
      <c r="A5" s="10" t="s">
        <v>14</v>
      </c>
      <c r="B5" s="2" t="b">
        <v>0</v>
      </c>
      <c r="C5" s="2" t="b">
        <v>1</v>
      </c>
      <c r="D5" s="2" t="b">
        <v>0</v>
      </c>
      <c r="E5" s="6" t="str">
        <f>A7</f>
        <v>CS50 X</v>
      </c>
      <c r="F5" s="9" t="s">
        <v>15</v>
      </c>
      <c r="G5" s="8"/>
      <c r="H5" s="8"/>
    </row>
    <row r="6">
      <c r="A6" s="3" t="s">
        <v>16</v>
      </c>
      <c r="B6" s="2" t="b">
        <v>0</v>
      </c>
      <c r="C6" s="2" t="b">
        <v>0</v>
      </c>
      <c r="D6" s="2" t="b">
        <v>0</v>
      </c>
      <c r="E6" s="6"/>
      <c r="F6" s="9" t="s">
        <v>17</v>
      </c>
      <c r="G6" s="8"/>
      <c r="H6" s="8"/>
    </row>
    <row r="7">
      <c r="A7" s="3" t="s">
        <v>18</v>
      </c>
      <c r="B7" s="2" t="b">
        <v>0</v>
      </c>
      <c r="C7" s="2" t="b">
        <v>1</v>
      </c>
      <c r="D7" s="2" t="b">
        <v>0</v>
      </c>
      <c r="E7" s="6"/>
      <c r="F7" s="7" t="s">
        <v>19</v>
      </c>
      <c r="G7" s="8"/>
      <c r="H7" s="8"/>
    </row>
    <row r="8">
      <c r="A8" s="10" t="s">
        <v>20</v>
      </c>
      <c r="B8" s="11" t="b">
        <v>0</v>
      </c>
      <c r="C8" s="2" t="b">
        <v>1</v>
      </c>
      <c r="D8" s="11" t="b">
        <v>0</v>
      </c>
      <c r="E8" s="6" t="str">
        <f>A5</f>
        <v>University of Stanford Algorithms 1 (en paralelo con leetcode easy) ( SOE-YCS0009 )</v>
      </c>
      <c r="F8" s="9" t="s">
        <v>21</v>
      </c>
      <c r="G8" s="8"/>
      <c r="H8" s="8"/>
    </row>
    <row r="9">
      <c r="A9" s="10" t="s">
        <v>22</v>
      </c>
      <c r="B9" s="2" t="b">
        <v>0</v>
      </c>
      <c r="C9" s="2" t="b">
        <v>1</v>
      </c>
      <c r="D9" s="11" t="b">
        <v>0</v>
      </c>
      <c r="E9" s="6"/>
      <c r="F9" s="7" t="s">
        <v>23</v>
      </c>
      <c r="G9" s="8"/>
      <c r="H9" s="8"/>
    </row>
    <row r="10">
      <c r="A10" s="3" t="s">
        <v>24</v>
      </c>
      <c r="B10" s="2" t="b">
        <v>0</v>
      </c>
      <c r="C10" s="2" t="b">
        <v>1</v>
      </c>
      <c r="D10" s="2" t="b">
        <v>0</v>
      </c>
      <c r="E10" s="6" t="str">
        <f t="shared" ref="E10:E11" si="1">A7</f>
        <v>CS50 X</v>
      </c>
      <c r="F10" s="7" t="s">
        <v>25</v>
      </c>
      <c r="G10" s="8"/>
      <c r="H10" s="8"/>
    </row>
    <row r="11">
      <c r="A11" s="10" t="s">
        <v>26</v>
      </c>
      <c r="B11" s="11" t="b">
        <v>0</v>
      </c>
      <c r="C11" s="2" t="b">
        <v>1</v>
      </c>
      <c r="D11" s="11" t="b">
        <v>0</v>
      </c>
      <c r="E11" s="6" t="str">
        <f t="shared" si="1"/>
        <v>University of Stanford Algorithms 2 (en paralelo con leetcode easy/medium) ( SOE-YCS0001 )</v>
      </c>
      <c r="F11" s="7" t="s">
        <v>27</v>
      </c>
      <c r="G11" s="8"/>
      <c r="H11" s="8"/>
    </row>
    <row r="12">
      <c r="A12" s="10" t="s">
        <v>28</v>
      </c>
      <c r="B12" s="2" t="b">
        <v>0</v>
      </c>
      <c r="C12" s="2" t="b">
        <v>1</v>
      </c>
      <c r="D12" s="2" t="b">
        <v>0</v>
      </c>
      <c r="E12" s="6" t="str">
        <f>A11</f>
        <v>University of Stanford Algorithms 3 (en paralelo con leetcode medium) ( SOE-YCS0003 )</v>
      </c>
      <c r="F12" s="7" t="s">
        <v>29</v>
      </c>
      <c r="G12" s="8"/>
      <c r="H12" s="8"/>
    </row>
    <row r="13">
      <c r="A13" s="10" t="s">
        <v>30</v>
      </c>
      <c r="B13" s="11" t="b">
        <v>0</v>
      </c>
      <c r="C13" s="11" t="b">
        <v>0</v>
      </c>
      <c r="D13" s="11" t="b">
        <v>0</v>
      </c>
      <c r="E13" s="6" t="str">
        <f>A7</f>
        <v>CS50 X</v>
      </c>
      <c r="F13" s="9" t="s">
        <v>31</v>
      </c>
      <c r="G13" s="8"/>
      <c r="H13" s="8"/>
    </row>
    <row r="14">
      <c r="A14" s="12" t="s">
        <v>32</v>
      </c>
      <c r="B14" s="2" t="b">
        <v>0</v>
      </c>
      <c r="C14" s="2" t="b">
        <v>1</v>
      </c>
      <c r="D14" s="2" t="b">
        <v>0</v>
      </c>
      <c r="E14" s="6"/>
      <c r="F14" s="4"/>
      <c r="G14" s="8"/>
      <c r="H14" s="8"/>
    </row>
    <row r="15">
      <c r="A15" s="10" t="s">
        <v>33</v>
      </c>
      <c r="B15" s="11" t="b">
        <v>0</v>
      </c>
      <c r="C15" s="2" t="b">
        <v>1</v>
      </c>
      <c r="D15" s="11" t="b">
        <v>0</v>
      </c>
      <c r="E15" s="6"/>
      <c r="F15" s="9" t="s">
        <v>34</v>
      </c>
      <c r="G15" s="8"/>
      <c r="H15" s="8"/>
    </row>
    <row r="16">
      <c r="A16" s="10" t="s">
        <v>35</v>
      </c>
      <c r="B16" s="11" t="b">
        <v>0</v>
      </c>
      <c r="C16" s="2" t="b">
        <v>1</v>
      </c>
      <c r="D16" s="11" t="b">
        <v>0</v>
      </c>
      <c r="E16" s="6" t="str">
        <f>A15</f>
        <v>CS50 Cibersecurity</v>
      </c>
      <c r="F16" s="9" t="s">
        <v>36</v>
      </c>
      <c r="G16" s="8"/>
      <c r="H16" s="8"/>
    </row>
    <row r="17">
      <c r="A17" s="12" t="s">
        <v>37</v>
      </c>
      <c r="B17" s="11" t="b">
        <v>0</v>
      </c>
      <c r="C17" s="2" t="b">
        <v>1</v>
      </c>
      <c r="D17" s="11" t="b">
        <v>0</v>
      </c>
      <c r="E17" s="6"/>
      <c r="F17" s="13"/>
      <c r="G17" s="8"/>
      <c r="H17" s="8"/>
    </row>
    <row r="18">
      <c r="A18" s="10" t="s">
        <v>38</v>
      </c>
      <c r="B18" s="11" t="b">
        <v>0</v>
      </c>
      <c r="C18" s="2" t="b">
        <v>1</v>
      </c>
      <c r="D18" s="11" t="b">
        <v>0</v>
      </c>
      <c r="E18" s="6" t="str">
        <f>CONCATENATE(E13,A12)</f>
        <v>CS50 XUniversity of Stanford Algorithms 4 (en paralelo con leetcode de empresas/hard) ( SOE-YCS0004 )</v>
      </c>
      <c r="F18" s="9" t="s">
        <v>39</v>
      </c>
      <c r="G18" s="8"/>
      <c r="H18" s="8"/>
    </row>
    <row r="19">
      <c r="A19" s="10" t="s">
        <v>40</v>
      </c>
      <c r="B19" s="11" t="b">
        <v>0</v>
      </c>
      <c r="C19" s="2" t="b">
        <v>1</v>
      </c>
      <c r="D19" s="11" t="b">
        <v>0</v>
      </c>
      <c r="E19" s="6" t="str">
        <f>A7</f>
        <v>CS50 X</v>
      </c>
      <c r="F19" s="9" t="s">
        <v>41</v>
      </c>
      <c r="G19" s="8"/>
      <c r="H19" s="8"/>
    </row>
    <row r="20">
      <c r="A20" s="1" t="s">
        <v>42</v>
      </c>
      <c r="B20" s="11" t="b">
        <v>0</v>
      </c>
      <c r="C20" s="2" t="b">
        <v>1</v>
      </c>
      <c r="D20" s="11" t="b">
        <v>0</v>
      </c>
      <c r="E20" s="6" t="str">
        <f>A15</f>
        <v>CS50 Cibersecurity</v>
      </c>
      <c r="F20" s="7" t="s">
        <v>43</v>
      </c>
      <c r="G20" s="8"/>
      <c r="H20" s="8"/>
    </row>
    <row r="21">
      <c r="A21" s="1" t="s">
        <v>44</v>
      </c>
      <c r="B21" s="11" t="b">
        <v>0</v>
      </c>
      <c r="C21" s="11" t="b">
        <v>0</v>
      </c>
      <c r="D21" s="11" t="b">
        <v>0</v>
      </c>
      <c r="E21" s="6" t="str">
        <f>A13</f>
        <v>MIT OCW Introduction to C and C++</v>
      </c>
      <c r="F21" s="7" t="s">
        <v>45</v>
      </c>
      <c r="G21" s="8"/>
      <c r="H21" s="8"/>
    </row>
    <row r="22">
      <c r="A22" s="1" t="s">
        <v>46</v>
      </c>
      <c r="B22" s="11" t="b">
        <v>0</v>
      </c>
      <c r="C22" s="11" t="b">
        <v>0</v>
      </c>
      <c r="D22" s="11" t="b">
        <v>0</v>
      </c>
      <c r="E22" s="6"/>
      <c r="F22" s="9" t="s">
        <v>47</v>
      </c>
      <c r="G22" s="8"/>
      <c r="H22" s="8"/>
    </row>
    <row r="23">
      <c r="A23" s="1" t="s">
        <v>48</v>
      </c>
      <c r="B23" s="11" t="b">
        <v>0</v>
      </c>
      <c r="C23" s="11" t="b">
        <v>0</v>
      </c>
      <c r="D23" s="11" t="b">
        <v>0</v>
      </c>
      <c r="E23" s="6"/>
      <c r="F23" s="9" t="s">
        <v>49</v>
      </c>
      <c r="G23" s="8"/>
      <c r="H23" s="8"/>
    </row>
    <row r="24">
      <c r="A24" s="1" t="s">
        <v>50</v>
      </c>
      <c r="B24" s="11" t="b">
        <v>0</v>
      </c>
      <c r="C24" s="11" t="b">
        <v>0</v>
      </c>
      <c r="D24" s="11" t="b">
        <v>0</v>
      </c>
      <c r="E24" s="6" t="str">
        <f>A21</f>
        <v>MIT OCW Effective C &amp; C++ programming</v>
      </c>
      <c r="F24" s="7" t="s">
        <v>51</v>
      </c>
      <c r="G24" s="8"/>
      <c r="H24" s="8"/>
    </row>
    <row r="25">
      <c r="A25" s="1" t="s">
        <v>52</v>
      </c>
      <c r="B25" s="11" t="b">
        <v>0</v>
      </c>
      <c r="C25" s="11" t="b">
        <v>0</v>
      </c>
      <c r="D25" s="11" t="b">
        <v>0</v>
      </c>
      <c r="E25" s="6" t="str">
        <f>A20</f>
        <v>Cisco CCNA</v>
      </c>
      <c r="F25" s="7" t="s">
        <v>53</v>
      </c>
      <c r="G25" s="8"/>
      <c r="H25" s="8"/>
    </row>
    <row r="26">
      <c r="A26" s="1" t="s">
        <v>54</v>
      </c>
      <c r="B26" s="11" t="b">
        <v>0</v>
      </c>
      <c r="C26" s="11" t="b">
        <v>0</v>
      </c>
      <c r="D26" s="11" t="b">
        <v>0</v>
      </c>
      <c r="E26" s="6"/>
      <c r="F26" s="7" t="s">
        <v>55</v>
      </c>
      <c r="G26" s="8"/>
      <c r="H26" s="8"/>
    </row>
    <row r="27">
      <c r="A27" s="1" t="s">
        <v>56</v>
      </c>
      <c r="B27" s="11" t="b">
        <v>0</v>
      </c>
      <c r="C27" s="2" t="b">
        <v>1</v>
      </c>
      <c r="D27" s="11" t="b">
        <v>0</v>
      </c>
      <c r="E27" s="6"/>
      <c r="F27" s="9" t="s">
        <v>57</v>
      </c>
      <c r="G27" s="8"/>
      <c r="H27" s="8"/>
    </row>
    <row r="28">
      <c r="A28" s="1" t="s">
        <v>58</v>
      </c>
      <c r="B28" s="11" t="b">
        <v>0</v>
      </c>
      <c r="C28" s="11" t="b">
        <v>0</v>
      </c>
      <c r="D28" s="11" t="b">
        <v>0</v>
      </c>
      <c r="E28" s="6"/>
      <c r="F28" s="7" t="s">
        <v>59</v>
      </c>
      <c r="G28" s="8"/>
      <c r="H28" s="8"/>
    </row>
    <row r="29">
      <c r="A29" s="1" t="s">
        <v>60</v>
      </c>
      <c r="B29" s="11" t="b">
        <v>0</v>
      </c>
      <c r="C29" s="11" t="b">
        <v>0</v>
      </c>
      <c r="D29" s="11" t="b">
        <v>0</v>
      </c>
      <c r="E29" s="6"/>
      <c r="F29" s="14" t="s">
        <v>61</v>
      </c>
      <c r="G29" s="8"/>
      <c r="H29" s="8"/>
    </row>
    <row r="30">
      <c r="A30" s="15" t="s">
        <v>62</v>
      </c>
      <c r="B30" s="15" t="s">
        <v>63</v>
      </c>
      <c r="F30" s="16" t="s">
        <v>64</v>
      </c>
    </row>
    <row r="31">
      <c r="A31" s="15" t="s">
        <v>65</v>
      </c>
      <c r="E31" s="17" t="s">
        <v>66</v>
      </c>
    </row>
    <row r="32">
      <c r="A32" s="18" t="s">
        <v>67</v>
      </c>
      <c r="B32" s="17" t="s">
        <v>68</v>
      </c>
      <c r="E32" s="15"/>
    </row>
    <row r="34">
      <c r="A34" s="15" t="s">
        <v>69</v>
      </c>
      <c r="B34" s="17" t="s">
        <v>70</v>
      </c>
      <c r="F34" s="17" t="s">
        <v>71</v>
      </c>
    </row>
    <row r="35">
      <c r="A35" s="15" t="s">
        <v>72</v>
      </c>
      <c r="B35" s="17" t="s">
        <v>73</v>
      </c>
      <c r="E35" s="17" t="s">
        <v>74</v>
      </c>
      <c r="F35" s="17" t="s">
        <v>17</v>
      </c>
    </row>
    <row r="36">
      <c r="A36" s="15" t="s">
        <v>75</v>
      </c>
      <c r="B36" s="17" t="s">
        <v>76</v>
      </c>
    </row>
    <row r="37">
      <c r="A37" s="17" t="s">
        <v>77</v>
      </c>
      <c r="B37" s="17" t="s">
        <v>78</v>
      </c>
      <c r="E37" s="16" t="s">
        <v>79</v>
      </c>
      <c r="F37" s="17" t="s">
        <v>80</v>
      </c>
    </row>
    <row r="38">
      <c r="A38" s="19"/>
      <c r="F38" s="17" t="s">
        <v>81</v>
      </c>
    </row>
    <row r="39">
      <c r="A39" s="15"/>
      <c r="C39" s="17" t="s">
        <v>82</v>
      </c>
    </row>
    <row r="40">
      <c r="F40" s="17" t="s">
        <v>83</v>
      </c>
    </row>
    <row r="59">
      <c r="A59" s="15" t="s">
        <v>84</v>
      </c>
      <c r="C59" s="15" t="s">
        <v>84</v>
      </c>
    </row>
    <row r="61">
      <c r="A61" s="16" t="s">
        <v>85</v>
      </c>
    </row>
    <row r="62">
      <c r="A62" s="15" t="s">
        <v>86</v>
      </c>
    </row>
    <row r="68">
      <c r="E68" s="17" t="s">
        <v>87</v>
      </c>
    </row>
    <row r="71">
      <c r="A71" s="17" t="s">
        <v>88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A14"/>
    <hyperlink r:id="rId14" ref="F15"/>
    <hyperlink r:id="rId15" location="courses" ref="F16"/>
    <hyperlink r:id="rId16" ref="A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location="S1" ref="F29"/>
    <hyperlink r:id="rId29" ref="F30"/>
    <hyperlink r:id="rId30" ref="E31"/>
    <hyperlink r:id="rId31" ref="B32"/>
    <hyperlink r:id="rId32" ref="B34"/>
    <hyperlink r:id="rId33" ref="F34"/>
    <hyperlink r:id="rId34" ref="B35"/>
    <hyperlink r:id="rId35" ref="E35"/>
    <hyperlink r:id="rId36" ref="F35"/>
    <hyperlink r:id="rId37" ref="B36"/>
    <hyperlink r:id="rId38" ref="A37"/>
    <hyperlink r:id="rId39" ref="B37"/>
    <hyperlink r:id="rId40" ref="E37"/>
    <hyperlink r:id="rId41" ref="F37"/>
    <hyperlink r:id="rId42" ref="F38"/>
    <hyperlink r:id="rId43" ref="C39"/>
    <hyperlink r:id="rId44" ref="F40"/>
    <hyperlink r:id="rId45" ref="A61"/>
    <hyperlink r:id="rId46" ref="E68"/>
    <hyperlink r:id="rId47" ref="A7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25"/>
    <col customWidth="1" min="3" max="3" width="14.13"/>
  </cols>
  <sheetData>
    <row r="1">
      <c r="A1" s="1" t="s">
        <v>89</v>
      </c>
      <c r="B1" s="2" t="s">
        <v>1</v>
      </c>
      <c r="C1" s="2" t="s">
        <v>2</v>
      </c>
      <c r="D1" s="2" t="s">
        <v>3</v>
      </c>
      <c r="E1" s="15" t="s">
        <v>7</v>
      </c>
    </row>
    <row r="2">
      <c r="A2" s="3" t="s">
        <v>90</v>
      </c>
      <c r="B2" s="2" t="b">
        <v>0</v>
      </c>
      <c r="C2" s="2" t="b">
        <v>1</v>
      </c>
      <c r="D2" s="2" t="b">
        <v>0</v>
      </c>
    </row>
    <row r="3">
      <c r="A3" s="3" t="s">
        <v>10</v>
      </c>
      <c r="B3" s="11" t="b">
        <v>0</v>
      </c>
      <c r="C3" s="2" t="b">
        <v>1</v>
      </c>
      <c r="D3" s="2" t="b">
        <v>0</v>
      </c>
    </row>
    <row r="4">
      <c r="A4" s="3" t="s">
        <v>91</v>
      </c>
      <c r="B4" s="2" t="b">
        <v>0</v>
      </c>
      <c r="C4" s="2" t="b">
        <v>1</v>
      </c>
      <c r="D4" s="11" t="b">
        <v>0</v>
      </c>
    </row>
    <row r="5">
      <c r="A5" s="3" t="s">
        <v>92</v>
      </c>
      <c r="B5" s="11" t="b">
        <v>0</v>
      </c>
      <c r="C5" s="2" t="b">
        <v>1</v>
      </c>
      <c r="D5" s="11" t="b">
        <v>0</v>
      </c>
    </row>
    <row r="6">
      <c r="A6" s="20" t="s">
        <v>93</v>
      </c>
      <c r="B6" s="11" t="b">
        <v>0</v>
      </c>
      <c r="C6" s="2" t="b">
        <v>0</v>
      </c>
      <c r="D6" s="11" t="b">
        <v>0</v>
      </c>
      <c r="E6" s="17" t="s">
        <v>94</v>
      </c>
    </row>
    <row r="7">
      <c r="A7" s="20" t="s">
        <v>95</v>
      </c>
      <c r="B7" s="11" t="b">
        <v>0</v>
      </c>
      <c r="C7" s="2" t="b">
        <v>0</v>
      </c>
      <c r="D7" s="11" t="b">
        <v>0</v>
      </c>
      <c r="E7" s="17" t="s">
        <v>96</v>
      </c>
    </row>
    <row r="8">
      <c r="A8" s="3" t="s">
        <v>97</v>
      </c>
      <c r="B8" s="11" t="b">
        <v>0</v>
      </c>
      <c r="C8" s="2" t="b">
        <v>1</v>
      </c>
      <c r="D8" s="11" t="b">
        <v>0</v>
      </c>
      <c r="E8" s="15"/>
    </row>
    <row r="9">
      <c r="A9" s="3" t="s">
        <v>98</v>
      </c>
      <c r="B9" s="11" t="b">
        <v>0</v>
      </c>
      <c r="C9" s="2" t="b">
        <v>1</v>
      </c>
      <c r="D9" s="11" t="b">
        <v>0</v>
      </c>
    </row>
    <row r="10">
      <c r="A10" s="3" t="s">
        <v>99</v>
      </c>
      <c r="B10" s="11" t="b">
        <v>0</v>
      </c>
      <c r="C10" s="2" t="b">
        <v>1</v>
      </c>
      <c r="D10" s="11" t="b">
        <v>0</v>
      </c>
      <c r="E10" s="17" t="s">
        <v>100</v>
      </c>
    </row>
  </sheetData>
  <hyperlinks>
    <hyperlink r:id="rId1" ref="E6"/>
    <hyperlink r:id="rId2" ref="E7"/>
    <hyperlink r:id="rId3" location="lecture-what-is-css" ref="E10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3" width="7.25"/>
  </cols>
  <sheetData>
    <row r="1">
      <c r="A1" s="2" t="s">
        <v>101</v>
      </c>
      <c r="B1" s="2" t="s">
        <v>102</v>
      </c>
      <c r="C1" s="2" t="s">
        <v>103</v>
      </c>
      <c r="D1" s="2" t="s">
        <v>104</v>
      </c>
      <c r="E1" s="2" t="s">
        <v>105</v>
      </c>
      <c r="G1" s="3" t="s">
        <v>106</v>
      </c>
      <c r="H1" s="3" t="s">
        <v>107</v>
      </c>
    </row>
    <row r="2">
      <c r="A2" s="2" t="s">
        <v>108</v>
      </c>
      <c r="B2" s="2">
        <v>4.0</v>
      </c>
      <c r="C2" s="2"/>
      <c r="D2" s="11" t="str">
        <f>C2</f>
        <v/>
      </c>
      <c r="E2" s="11" t="str">
        <f>IF(D8&gt;=20, "V" , "F")</f>
        <v>F</v>
      </c>
      <c r="G2" s="1">
        <v>1.0</v>
      </c>
      <c r="H2" s="21" t="b">
        <v>0</v>
      </c>
      <c r="I2" s="15" t="s">
        <v>109</v>
      </c>
      <c r="J2" s="22">
        <f>28*3</f>
        <v>84</v>
      </c>
      <c r="K2" s="15" t="s">
        <v>110</v>
      </c>
    </row>
    <row r="3">
      <c r="A3" s="2" t="s">
        <v>111</v>
      </c>
      <c r="B3" s="2">
        <v>3.0</v>
      </c>
      <c r="C3" s="2"/>
      <c r="D3" s="11">
        <f t="shared" ref="D3:D8" si="1">D2+C3</f>
        <v>0</v>
      </c>
      <c r="E3" s="11"/>
      <c r="G3" s="1">
        <v>2.0</v>
      </c>
      <c r="H3" s="1" t="b">
        <v>0</v>
      </c>
    </row>
    <row r="4">
      <c r="A4" s="2" t="s">
        <v>112</v>
      </c>
      <c r="B4" s="2">
        <v>3.0</v>
      </c>
      <c r="C4" s="2"/>
      <c r="D4" s="11">
        <f t="shared" si="1"/>
        <v>0</v>
      </c>
      <c r="E4" s="11"/>
      <c r="G4" s="1">
        <v>3.0</v>
      </c>
      <c r="H4" s="1" t="b">
        <v>0</v>
      </c>
    </row>
    <row r="5">
      <c r="A5" s="2" t="s">
        <v>113</v>
      </c>
      <c r="B5" s="2">
        <v>4.0</v>
      </c>
      <c r="C5" s="2"/>
      <c r="D5" s="11">
        <f t="shared" si="1"/>
        <v>0</v>
      </c>
      <c r="E5" s="11"/>
      <c r="G5" s="1">
        <v>4.0</v>
      </c>
      <c r="H5" s="21" t="b">
        <v>0</v>
      </c>
    </row>
    <row r="6">
      <c r="A6" s="2" t="s">
        <v>114</v>
      </c>
      <c r="B6" s="2">
        <v>4.0</v>
      </c>
      <c r="C6" s="2"/>
      <c r="D6" s="11">
        <f t="shared" si="1"/>
        <v>0</v>
      </c>
      <c r="E6" s="11"/>
      <c r="G6" s="1">
        <v>5.0</v>
      </c>
      <c r="H6" s="21" t="b">
        <v>0</v>
      </c>
    </row>
    <row r="7">
      <c r="A7" s="2" t="s">
        <v>115</v>
      </c>
      <c r="B7" s="2">
        <v>10.0</v>
      </c>
      <c r="C7" s="2"/>
      <c r="D7" s="11">
        <f t="shared" si="1"/>
        <v>0</v>
      </c>
      <c r="E7" s="11"/>
      <c r="G7" s="1">
        <v>6.0</v>
      </c>
      <c r="H7" s="21" t="b">
        <v>0</v>
      </c>
    </row>
    <row r="8">
      <c r="A8" s="2" t="s">
        <v>116</v>
      </c>
      <c r="B8" s="2">
        <v>10.0</v>
      </c>
      <c r="C8" s="2"/>
      <c r="D8" s="11">
        <f t="shared" si="1"/>
        <v>0</v>
      </c>
      <c r="E8" s="11"/>
      <c r="G8" s="1">
        <v>7.0</v>
      </c>
      <c r="H8" s="21" t="b">
        <v>0</v>
      </c>
    </row>
    <row r="9">
      <c r="G9" s="1">
        <v>8.0</v>
      </c>
      <c r="H9" s="21" t="b">
        <v>0</v>
      </c>
    </row>
    <row r="10">
      <c r="G10" s="1">
        <v>9.0</v>
      </c>
      <c r="H10" s="21" t="b">
        <v>0</v>
      </c>
    </row>
    <row r="11">
      <c r="G11" s="1">
        <v>10.0</v>
      </c>
      <c r="H11" s="21" t="b">
        <v>0</v>
      </c>
    </row>
    <row r="12">
      <c r="G12" s="1">
        <v>11.0</v>
      </c>
      <c r="H12" s="21" t="b">
        <v>0</v>
      </c>
    </row>
    <row r="13">
      <c r="G13" s="1">
        <v>12.0</v>
      </c>
      <c r="H13" s="21" t="b">
        <v>0</v>
      </c>
    </row>
    <row r="14">
      <c r="G14" s="1">
        <v>13.0</v>
      </c>
      <c r="H14" s="21" t="b">
        <v>0</v>
      </c>
    </row>
    <row r="15">
      <c r="G15" s="1">
        <v>14.0</v>
      </c>
      <c r="H15" s="21" t="b">
        <v>0</v>
      </c>
    </row>
    <row r="16">
      <c r="G16" s="1">
        <v>15.0</v>
      </c>
      <c r="H16" s="21" t="b">
        <v>0</v>
      </c>
    </row>
    <row r="17">
      <c r="G17" s="1">
        <v>16.0</v>
      </c>
      <c r="H17" s="21" t="b">
        <v>0</v>
      </c>
    </row>
    <row r="18">
      <c r="G18" s="1">
        <v>17.0</v>
      </c>
      <c r="H18" s="21" t="b">
        <v>0</v>
      </c>
    </row>
    <row r="19">
      <c r="G19" s="1">
        <v>18.0</v>
      </c>
      <c r="H19" s="21" t="b">
        <v>0</v>
      </c>
    </row>
    <row r="20">
      <c r="G20" s="1">
        <v>19.0</v>
      </c>
      <c r="H20" s="21" t="b">
        <v>0</v>
      </c>
    </row>
    <row r="21">
      <c r="G21" s="1">
        <v>20.0</v>
      </c>
      <c r="H21" s="21" t="b">
        <v>0</v>
      </c>
    </row>
    <row r="22">
      <c r="G22" s="1">
        <v>21.0</v>
      </c>
      <c r="H22" s="21" t="b">
        <v>0</v>
      </c>
    </row>
    <row r="23">
      <c r="G23" s="1">
        <v>22.0</v>
      </c>
      <c r="H23" s="21" t="b">
        <v>0</v>
      </c>
    </row>
    <row r="24">
      <c r="G24" s="1">
        <v>23.0</v>
      </c>
      <c r="H24" s="21" t="b">
        <v>0</v>
      </c>
    </row>
    <row r="25">
      <c r="G25" s="1">
        <v>24.0</v>
      </c>
      <c r="H25" s="21" t="b">
        <v>0</v>
      </c>
    </row>
    <row r="26">
      <c r="G26" s="1">
        <v>25.0</v>
      </c>
      <c r="H26" s="21" t="b">
        <v>0</v>
      </c>
    </row>
    <row r="27">
      <c r="G27" s="1">
        <v>26.0</v>
      </c>
      <c r="H27" s="21" t="b">
        <v>0</v>
      </c>
    </row>
    <row r="28">
      <c r="G28" s="1">
        <v>27.0</v>
      </c>
      <c r="H28" s="21" t="b">
        <v>0</v>
      </c>
    </row>
    <row r="29">
      <c r="G29" s="1">
        <v>28.0</v>
      </c>
      <c r="H29" s="21" t="b">
        <v>0</v>
      </c>
    </row>
    <row r="30">
      <c r="G30" s="1">
        <v>29.0</v>
      </c>
      <c r="H30" s="21" t="b">
        <v>0</v>
      </c>
    </row>
    <row r="31">
      <c r="G31" s="1">
        <v>30.0</v>
      </c>
      <c r="H31" s="21" t="b">
        <v>0</v>
      </c>
    </row>
    <row r="32">
      <c r="G32" s="1">
        <v>31.0</v>
      </c>
      <c r="H32" s="21" t="b"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117</v>
      </c>
      <c r="B1" s="17" t="s">
        <v>118</v>
      </c>
    </row>
    <row r="2">
      <c r="B2" s="17" t="s">
        <v>119</v>
      </c>
    </row>
    <row r="3">
      <c r="B3" s="17" t="s">
        <v>120</v>
      </c>
    </row>
    <row r="6">
      <c r="A6" s="15" t="s">
        <v>121</v>
      </c>
      <c r="B6" s="17" t="s">
        <v>122</v>
      </c>
      <c r="E6" s="15" t="s">
        <v>123</v>
      </c>
    </row>
    <row r="7">
      <c r="A7" s="15" t="s">
        <v>124</v>
      </c>
      <c r="B7" s="17" t="s">
        <v>125</v>
      </c>
      <c r="E7" s="15" t="s">
        <v>126</v>
      </c>
    </row>
  </sheetData>
  <hyperlinks>
    <hyperlink r:id="rId1" ref="B1"/>
    <hyperlink r:id="rId2" ref="B2"/>
    <hyperlink r:id="rId3" ref="B3"/>
    <hyperlink r:id="rId4" ref="B6"/>
    <hyperlink r:id="rId5" ref="B7"/>
  </hyperlinks>
  <drawing r:id="rId6"/>
</worksheet>
</file>